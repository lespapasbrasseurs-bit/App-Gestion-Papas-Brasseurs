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<sst xmlns="http://schemas.openxmlformats.org/spreadsheetml/2006/main" count="254" uniqueCount="82">
  <si>
    <t>Article</t>
  </si>
  <si>
    <t>Type</t>
  </si>
  <si>
    <t>Famille</t>
  </si>
  <si>
    <t>Sous
famille</t>
  </si>
  <si>
    <t>Qté</t>
  </si>
  <si>
    <t>Qté jour</t>
  </si>
  <si>
    <t>Montant
TTC</t>
  </si>
  <si>
    <t>Montant TTC 
Unitaire</t>
  </si>
  <si>
    <t>Montant
TTC/jour</t>
  </si>
  <si>
    <t>Montant
HT</t>
  </si>
  <si>
    <t>Qté
Offert</t>
  </si>
  <si>
    <t>Montant 
TTC offert</t>
  </si>
  <si>
    <t>Pourcentage
Offert (Qté)</t>
  </si>
  <si>
    <t>Montant TTC
Remise</t>
  </si>
  <si>
    <t>Pourcentage
Remise</t>
  </si>
  <si>
    <t>Coût HT
Unitaire</t>
  </si>
  <si>
    <t>Coût HT
Total</t>
  </si>
  <si>
    <t>Marge HT
Moyenne</t>
  </si>
  <si>
    <t>Marge HT
Total</t>
  </si>
  <si>
    <t>Tx
marge</t>
  </si>
  <si>
    <t>25CL BLONDE DES P</t>
  </si>
  <si>
    <t>BIERE PRESSION</t>
  </si>
  <si>
    <t>Papas Brasseurs</t>
  </si>
  <si>
    <t>BLONDE DES PAPAS</t>
  </si>
  <si>
    <t>100</t>
  </si>
  <si>
    <t>25CL LA PERCHEE</t>
  </si>
  <si>
    <t>PERCHEE</t>
  </si>
  <si>
    <t>50CL BLONDE DES P</t>
  </si>
  <si>
    <t>FUT Bière Blonde des Papas/ litre</t>
  </si>
  <si>
    <t>LOCATION TIREUSE</t>
  </si>
  <si>
    <t>FUT Bière Impèrtinente / litre</t>
  </si>
  <si>
    <t>IMPERTINENTE</t>
  </si>
  <si>
    <t>FUT Bière Pèrlimpinpin/ litre</t>
  </si>
  <si>
    <t>PERLIMPINPIN</t>
  </si>
  <si>
    <t>Fût Single HOP/L</t>
  </si>
  <si>
    <t>COLAB</t>
  </si>
  <si>
    <t>25CL LFM</t>
  </si>
  <si>
    <t>LES FEES MERES</t>
  </si>
  <si>
    <t>33CL LFM</t>
  </si>
  <si>
    <t>PICHET 1L LFM</t>
  </si>
  <si>
    <t>FUT Merveilleuse/ litre</t>
  </si>
  <si>
    <t>FUT LFM/LITRE</t>
  </si>
  <si>
    <t>Fut MamaGascard /litre</t>
  </si>
  <si>
    <t>Papa Noel FUT /litre</t>
  </si>
  <si>
    <t>Fût Mèrlimpinpin / litre</t>
  </si>
  <si>
    <t>Fût PAPA POULE/ Litre</t>
  </si>
  <si>
    <t>Fut Farmère / litre</t>
  </si>
  <si>
    <t>25CL IMPER</t>
  </si>
  <si>
    <t>25CL LA PERLIMPIN</t>
  </si>
  <si>
    <t>25CL PERILLEUS</t>
  </si>
  <si>
    <t>PERILLEUSE</t>
  </si>
  <si>
    <t>25CL LA SUPERE</t>
  </si>
  <si>
    <t>SUPERE</t>
  </si>
  <si>
    <t>50CL IMPER</t>
  </si>
  <si>
    <t>50CL LA PERLIMPIN</t>
  </si>
  <si>
    <t>50CL PERILLEUS</t>
  </si>
  <si>
    <t>50CL LA PERCHEE</t>
  </si>
  <si>
    <t>50CL LA SUPERE</t>
  </si>
  <si>
    <t>FUT Bière Pèrchée  / litre</t>
  </si>
  <si>
    <t>FUT Bière Supère/ litre</t>
  </si>
  <si>
    <t>PICHET 1L BLONDE</t>
  </si>
  <si>
    <t>PICHET 1L Pèrmanente</t>
  </si>
  <si>
    <t>33CL BLONDE DES PAPAS</t>
  </si>
  <si>
    <t>33CL  IMPER</t>
  </si>
  <si>
    <t>33CL PERCHEE</t>
  </si>
  <si>
    <t>33CL PERILLEUS</t>
  </si>
  <si>
    <t>33CL PERLIMPIN</t>
  </si>
  <si>
    <t>33CL SUPERE</t>
  </si>
  <si>
    <t>50CL LFM</t>
  </si>
  <si>
    <t>FUT Daaronn / litre</t>
  </si>
  <si>
    <t>FUT Mercure/litre</t>
  </si>
  <si>
    <t>Fût Mary Stout /litre</t>
  </si>
  <si>
    <t>Fût/L HABEMOUSS' PAPA</t>
  </si>
  <si>
    <t>CHRO MAMATIK FÛT/L</t>
  </si>
  <si>
    <t>Visite brasserie + dégustation /Personne</t>
  </si>
  <si>
    <t>BAR</t>
  </si>
  <si>
    <t>FÛT KARMAMA / Litre</t>
  </si>
  <si>
    <t>FÛT COMERE / Litre</t>
  </si>
  <si>
    <t>Fut Daddy Cool /litre</t>
  </si>
  <si>
    <t>KROL fût /L</t>
  </si>
  <si>
    <t>Somme</t>
  </si>
  <si>
    <t>Moyenne</t>
  </si>
</sst>
</file>

<file path=xl/styles.xml><?xml version="1.0" encoding="utf-8"?>
<styleSheet xmlns="http://schemas.openxmlformats.org/spreadsheetml/2006/main">
  <numFmts count="12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0" numFmtId="164"/>
    <numFmt formatCode="#,##0.00 €" numFmtId="165"/>
    <numFmt formatCode="#,##0.000 €" numFmtId="166"/>
    <numFmt formatCode="##0.0 %" numFmtId="167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right" vertical="center"/>
      <protection locked="1"/>
    </xf>
    <xf applyNumberFormat="1" applyFont="1" applyFill="1" applyBorder="1" applyAlignment="1" applyProtection="1" numFmtId="167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4.85714285714"/>
    <col min="2" max="2" style="1" customWidth="1" width="14.28571428571"/>
    <col min="3" max="3" style="1" customWidth="1" width="14.28571428571"/>
    <col min="4" max="4" style="1" customWidth="1" width="14.28571428571"/>
    <col min="5" max="5" style="1" customWidth="1" width="9.714285714286"/>
    <col min="6" max="6" style="1" customWidth="1" width="8.857142857143"/>
    <col min="7" max="7" style="1" customWidth="1" width="10.42857142857"/>
    <col min="8" max="8" style="1" customWidth="1" width="14.28571428571"/>
    <col min="9" max="9" style="1" customWidth="1" width="9.285714285714"/>
    <col min="10" max="10" style="1" customWidth="1" width="9.285714285714"/>
    <col min="11" max="11" style="1" customWidth="1" width="14.28571428571"/>
    <col min="12" max="12" style="1" customWidth="1" width="11.28571428571"/>
    <col min="13" max="13" style="1" customWidth="1" width="11.14285714286"/>
    <col min="14" max="14" style="1" customWidth="1" width="14.28571428571"/>
    <col min="15" max="15" style="1" customWidth="1" width="14.28571428571"/>
    <col min="16" max="16" style="1" customWidth="1" width="9.142857142857"/>
    <col min="17" max="17" style="1" customWidth="1" width="9.285714285714"/>
    <col min="18" max="18" style="1" customWidth="1" width="9.714285714286"/>
    <col min="19" max="19" style="1" customWidth="1" width="9.857142857143"/>
    <col min="20" max="20" style="1" customWidth="1" width="7.571428571429"/>
  </cols>
  <sheetData>
    <row r="1" spans="1:20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</row>
    <row r="2" customHeight="1" ht="15" spans="1:20">
      <c s="3" r="A2" t="s">
        <v>20</v>
      </c>
      <c s="3" r="B2" t="s">
        <v>21</v>
      </c>
      <c s="3" r="C2" t="s">
        <v>22</v>
      </c>
      <c s="3" r="D2" t="s">
        <v>23</v>
      </c>
      <c s="4" r="E2" t="n">
        <v>199</v>
      </c>
      <c s="4" r="F2" t="n">
        <v>0.11</v>
      </c>
      <c s="5" r="G2" t="n">
        <v>577.1</v>
      </c>
      <c s="5" r="H2" t="n">
        <v>2.9</v>
      </c>
      <c s="6" r="I2" t="n">
        <v>0.27</v>
      </c>
      <c s="6" r="J2" t="n">
        <v>480.98</v>
      </c>
      <c s="4" r="K2" t="n">
        <v>0</v>
      </c>
      <c s="6" r="L2" t="n">
        <v>0</v>
      </c>
      <c s="7" r="M2" t="n">
        <v>0</v>
      </c>
      <c s="6" r="N2" t="n">
        <v>0</v>
      </c>
      <c s="7" r="O2" t="n">
        <v>0</v>
      </c>
      <c s="6" r="P2" t="n">
        <v>0</v>
      </c>
      <c s="6" r="Q2" t="n">
        <v>0</v>
      </c>
      <c s="6" r="R2" t="n">
        <v>2.42</v>
      </c>
      <c s="6" r="S2" t="n">
        <v>480.98</v>
      </c>
      <c s="3" r="T2" t="s">
        <v>24</v>
      </c>
    </row>
    <row r="3" customHeight="1" ht="15" spans="1:20">
      <c s="3" r="A3" t="s">
        <v>25</v>
      </c>
      <c s="3" r="B3" t="s">
        <v>21</v>
      </c>
      <c s="3" r="C3" t="s">
        <v>22</v>
      </c>
      <c s="3" r="D3" t="s">
        <v>26</v>
      </c>
      <c s="4" r="E3" t="n">
        <v>173</v>
      </c>
      <c s="4" r="F3" t="n">
        <v>0.09</v>
      </c>
      <c s="5" r="G3" t="n">
        <v>570.9</v>
      </c>
      <c s="5" r="H3" t="n">
        <v>3.3</v>
      </c>
      <c s="6" r="I3" t="n">
        <v>0.27</v>
      </c>
      <c s="6" r="J3" t="n">
        <v>475.75</v>
      </c>
      <c s="4" r="K3" t="n">
        <v>0</v>
      </c>
      <c s="6" r="L3" t="n">
        <v>0</v>
      </c>
      <c s="7" r="M3" t="n">
        <v>0</v>
      </c>
      <c s="6" r="N3" t="n">
        <v>0</v>
      </c>
      <c s="7" r="O3" t="n">
        <v>0</v>
      </c>
      <c s="6" r="P3" t="n">
        <v>0</v>
      </c>
      <c s="6" r="Q3" t="n">
        <v>0</v>
      </c>
      <c s="6" r="R3" t="n">
        <v>2.75</v>
      </c>
      <c s="6" r="S3" t="n">
        <v>475.75</v>
      </c>
      <c s="3" r="T3" t="s">
        <v>24</v>
      </c>
    </row>
    <row r="4" customHeight="1" ht="15" spans="1:20">
      <c s="3" r="A4" t="s">
        <v>27</v>
      </c>
      <c s="3" r="B4" t="s">
        <v>21</v>
      </c>
      <c s="3" r="C4" t="s">
        <v>22</v>
      </c>
      <c s="3" r="D4" t="s">
        <v>23</v>
      </c>
      <c s="4" r="E4" t="n">
        <v>229</v>
      </c>
      <c s="4" r="F4" t="n">
        <v>0.13</v>
      </c>
      <c s="5" r="G4" t="n">
        <v>1282.4</v>
      </c>
      <c s="5" r="H4" t="n">
        <v>5.6</v>
      </c>
      <c s="6" r="I4" t="n">
        <v>0.6</v>
      </c>
      <c s="6" r="J4" t="n">
        <v>1068.74</v>
      </c>
      <c s="4" r="K4" t="n">
        <v>0</v>
      </c>
      <c s="6" r="L4" t="n">
        <v>0</v>
      </c>
      <c s="7" r="M4" t="n">
        <v>0</v>
      </c>
      <c s="6" r="N4" t="n">
        <v>0</v>
      </c>
      <c s="7" r="O4" t="n">
        <v>0</v>
      </c>
      <c s="6" r="P4" t="n">
        <v>0</v>
      </c>
      <c s="6" r="Q4" t="n">
        <v>0</v>
      </c>
      <c s="6" r="R4" t="n">
        <v>4.67</v>
      </c>
      <c s="6" r="S4" t="n">
        <v>1068.74</v>
      </c>
      <c s="3" r="T4" t="s">
        <v>24</v>
      </c>
    </row>
    <row r="5" customHeight="1" ht="15" spans="1:20">
      <c s="3" r="A5" t="s">
        <v>28</v>
      </c>
      <c s="3" r="B5" t="s">
        <v>29</v>
      </c>
      <c s="3" r="C5" t="s">
        <v>22</v>
      </c>
      <c s="3" r="D5" t="s">
        <v>23</v>
      </c>
      <c s="4" r="E5" t="n">
        <v>310</v>
      </c>
      <c s="4" r="F5" t="n">
        <v>0.68</v>
      </c>
      <c s="5" r="G5" t="n">
        <v>0</v>
      </c>
      <c s="5" r="H5" t="n">
        <v>0</v>
      </c>
      <c s="6" r="I5" t="n">
        <v>0</v>
      </c>
      <c s="6" r="J5" t="n">
        <v>0</v>
      </c>
      <c s="4" r="K5" t="n">
        <v>0</v>
      </c>
      <c s="6" r="L5" t="n">
        <v>0</v>
      </c>
      <c s="7" r="M5" t="n">
        <v>0</v>
      </c>
      <c s="6" r="N5" t="n">
        <v>0</v>
      </c>
      <c s="7" r="O5" t="n">
        <v>0</v>
      </c>
      <c s="6" r="P5" t="n">
        <v>0</v>
      </c>
      <c s="6" r="Q5" t="n">
        <v>0</v>
      </c>
      <c s="6" r="R5" t="n">
        <v>0</v>
      </c>
      <c s="6" r="S5" t="n">
        <v>0</v>
      </c>
      <c s="3" r="T5" t="s">
        <v>24</v>
      </c>
    </row>
    <row r="6" customHeight="1" ht="15" spans="1:20">
      <c s="3" r="A6" t="s">
        <v>30</v>
      </c>
      <c s="3" r="B6" t="s">
        <v>29</v>
      </c>
      <c s="3" r="C6" t="s">
        <v>22</v>
      </c>
      <c s="3" r="D6" t="s">
        <v>31</v>
      </c>
      <c s="4" r="E6" t="n">
        <v>340</v>
      </c>
      <c s="4" r="F6" t="n">
        <v>0.69</v>
      </c>
      <c s="5" r="G6" t="n">
        <v>0</v>
      </c>
      <c s="5" r="H6" t="n">
        <v>0</v>
      </c>
      <c s="6" r="I6" t="n">
        <v>0</v>
      </c>
      <c s="6" r="J6" t="n">
        <v>0</v>
      </c>
      <c s="4" r="K6" t="n">
        <v>0</v>
      </c>
      <c s="6" r="L6" t="n">
        <v>0</v>
      </c>
      <c s="7" r="M6" t="n">
        <v>0</v>
      </c>
      <c s="6" r="N6" t="n">
        <v>0</v>
      </c>
      <c s="7" r="O6" t="n">
        <v>0</v>
      </c>
      <c s="6" r="P6" t="n">
        <v>0</v>
      </c>
      <c s="6" r="Q6" t="n">
        <v>0</v>
      </c>
      <c s="6" r="R6" t="n">
        <v>0</v>
      </c>
      <c s="6" r="S6" t="n">
        <v>0</v>
      </c>
      <c s="3" r="T6" t="s">
        <v>24</v>
      </c>
    </row>
    <row r="7" customHeight="1" ht="15" spans="1:20">
      <c s="3" r="A7" t="s">
        <v>32</v>
      </c>
      <c s="3" r="B7" t="s">
        <v>29</v>
      </c>
      <c s="3" r="C7" t="s">
        <v>22</v>
      </c>
      <c s="3" r="D7" t="s">
        <v>33</v>
      </c>
      <c s="4" r="E7" t="n">
        <v>250</v>
      </c>
      <c s="4" r="F7" t="n">
        <v>1.5</v>
      </c>
      <c s="5" r="G7" t="n">
        <v>0</v>
      </c>
      <c s="5" r="H7" t="n">
        <v>0</v>
      </c>
      <c s="6" r="I7" t="n">
        <v>0</v>
      </c>
      <c s="6" r="J7" t="n">
        <v>0</v>
      </c>
      <c s="4" r="K7" t="n">
        <v>0</v>
      </c>
      <c s="6" r="L7" t="n">
        <v>0</v>
      </c>
      <c s="7" r="M7" t="n">
        <v>0</v>
      </c>
      <c s="6" r="N7" t="n">
        <v>0</v>
      </c>
      <c s="7" r="O7" t="n">
        <v>0</v>
      </c>
      <c s="6" r="P7" t="n">
        <v>0</v>
      </c>
      <c s="6" r="Q7" t="n">
        <v>0</v>
      </c>
      <c s="6" r="R7" t="n">
        <v>0</v>
      </c>
      <c s="6" r="S7" t="n">
        <v>0</v>
      </c>
      <c s="3" r="T7" t="s">
        <v>24</v>
      </c>
    </row>
    <row r="8" customHeight="1" ht="15" spans="1:20">
      <c s="3" r="A8" t="s">
        <v>34</v>
      </c>
      <c s="3" r="B8" t="s">
        <v>29</v>
      </c>
      <c s="3" r="C8" t="s">
        <v>22</v>
      </c>
      <c s="3" r="D8" t="s">
        <v>35</v>
      </c>
      <c s="4" r="E8" t="n">
        <v>90</v>
      </c>
      <c s="4" r="F8" t="n">
        <v>1</v>
      </c>
      <c s="5" r="G8" t="n">
        <v>0</v>
      </c>
      <c s="5" r="H8" t="n">
        <v>0</v>
      </c>
      <c s="6" r="I8" t="n">
        <v>0</v>
      </c>
      <c s="6" r="J8" t="n">
        <v>0</v>
      </c>
      <c s="4" r="K8" t="n">
        <v>0</v>
      </c>
      <c s="6" r="L8" t="n">
        <v>0</v>
      </c>
      <c s="7" r="M8" t="n">
        <v>0</v>
      </c>
      <c s="6" r="N8" t="n">
        <v>0</v>
      </c>
      <c s="7" r="O8" t="n">
        <v>0</v>
      </c>
      <c s="6" r="P8" t="n">
        <v>0</v>
      </c>
      <c s="6" r="Q8" t="n">
        <v>0</v>
      </c>
      <c s="6" r="R8" t="n">
        <v>0</v>
      </c>
      <c s="6" r="S8" t="n">
        <v>0</v>
      </c>
      <c s="3" r="T8" t="s">
        <v>24</v>
      </c>
    </row>
    <row r="9" customHeight="1" ht="15" spans="1:20">
      <c s="3" r="A9" t="s">
        <v>36</v>
      </c>
      <c s="3" r="B9" t="s">
        <v>21</v>
      </c>
      <c s="3" r="C9" t="s">
        <v>22</v>
      </c>
      <c s="3" r="D9" t="s">
        <v>37</v>
      </c>
      <c s="4" r="E9" t="n">
        <v>610</v>
      </c>
      <c s="4" r="F9" t="n">
        <v>0.3</v>
      </c>
      <c s="5" r="G9" t="n">
        <v>2196</v>
      </c>
      <c s="5" r="H9" t="n">
        <v>3.6</v>
      </c>
      <c s="6" r="I9" t="n">
        <v>1.03</v>
      </c>
      <c s="6" r="J9" t="n">
        <v>1830</v>
      </c>
      <c s="4" r="K9" t="n">
        <v>0</v>
      </c>
      <c s="6" r="L9" t="n">
        <v>0</v>
      </c>
      <c s="7" r="M9" t="n">
        <v>0</v>
      </c>
      <c s="6" r="N9" t="n">
        <v>0</v>
      </c>
      <c s="7" r="O9" t="n">
        <v>0</v>
      </c>
      <c s="6" r="P9" t="n">
        <v>0</v>
      </c>
      <c s="6" r="Q9" t="n">
        <v>0</v>
      </c>
      <c s="6" r="R9" t="n">
        <v>3</v>
      </c>
      <c s="6" r="S9" t="n">
        <v>1830</v>
      </c>
      <c s="3" r="T9" t="s">
        <v>24</v>
      </c>
    </row>
    <row r="10" customHeight="1" ht="15" spans="1:20">
      <c s="3" r="A10" t="s">
        <v>38</v>
      </c>
      <c s="3" r="B10" t="s">
        <v>21</v>
      </c>
      <c s="3" r="C10" t="s">
        <v>22</v>
      </c>
      <c s="3" r="D10" t="s">
        <v>37</v>
      </c>
      <c s="4" r="E10" t="n">
        <v>530</v>
      </c>
      <c s="4" r="F10" t="n">
        <v>0.35</v>
      </c>
      <c s="5" r="G10" t="n">
        <v>2544</v>
      </c>
      <c s="5" r="H10" t="n">
        <v>4.8</v>
      </c>
      <c s="6" r="I10" t="n">
        <v>1.19</v>
      </c>
      <c s="6" r="J10" t="n">
        <v>2120</v>
      </c>
      <c s="4" r="K10" t="n">
        <v>0</v>
      </c>
      <c s="6" r="L10" t="n">
        <v>0</v>
      </c>
      <c s="7" r="M10" t="n">
        <v>0</v>
      </c>
      <c s="6" r="N10" t="n">
        <v>0</v>
      </c>
      <c s="7" r="O10" t="n">
        <v>0</v>
      </c>
      <c s="6" r="P10" t="n">
        <v>0</v>
      </c>
      <c s="6" r="Q10" t="n">
        <v>0</v>
      </c>
      <c s="6" r="R10" t="n">
        <v>4</v>
      </c>
      <c s="6" r="S10" t="n">
        <v>2120</v>
      </c>
      <c s="3" r="T10" t="s">
        <v>24</v>
      </c>
    </row>
    <row r="11" customHeight="1" ht="15" spans="1:20">
      <c s="3" r="A11" t="s">
        <v>39</v>
      </c>
      <c s="3" r="B11" t="s">
        <v>21</v>
      </c>
      <c s="3" r="C11" t="s">
        <v>22</v>
      </c>
      <c s="3" r="D11" t="s">
        <v>37</v>
      </c>
      <c s="4" r="E11" t="n">
        <v>249</v>
      </c>
      <c s="4" r="F11" t="n">
        <v>0.13</v>
      </c>
      <c s="5" r="G11" t="n">
        <v>3444</v>
      </c>
      <c s="5" r="H11" t="n">
        <v>13.83</v>
      </c>
      <c s="6" r="I11" t="n">
        <v>1.62</v>
      </c>
      <c s="6" r="J11" t="n">
        <v>2870.08</v>
      </c>
      <c s="4" r="K11" t="n">
        <v>0</v>
      </c>
      <c s="6" r="L11" t="n">
        <v>0</v>
      </c>
      <c s="7" r="M11" t="n">
        <v>0</v>
      </c>
      <c s="6" r="N11" t="n">
        <v>42</v>
      </c>
      <c s="7" r="O11" t="n">
        <v>0.01</v>
      </c>
      <c s="6" r="P11" t="n">
        <v>0</v>
      </c>
      <c s="6" r="Q11" t="n">
        <v>0</v>
      </c>
      <c s="6" r="R11" t="n">
        <v>11.53</v>
      </c>
      <c s="6" r="S11" t="n">
        <v>2870.08</v>
      </c>
      <c s="3" r="T11" t="s">
        <v>24</v>
      </c>
    </row>
    <row r="12" customHeight="1" ht="15" spans="1:20">
      <c s="3" r="A12" t="s">
        <v>40</v>
      </c>
      <c s="3" r="B12" t="s">
        <v>29</v>
      </c>
      <c s="3" r="C12" t="s">
        <v>22</v>
      </c>
      <c s="3" r="D12" t="s">
        <v>37</v>
      </c>
      <c s="4" r="E12" t="n">
        <v>390</v>
      </c>
      <c s="4" r="F12" t="n">
        <v>4.33</v>
      </c>
      <c s="5" r="G12" t="n">
        <v>330</v>
      </c>
      <c s="5" r="H12" t="n">
        <v>0.85</v>
      </c>
      <c s="6" r="I12" t="n">
        <v>3.67</v>
      </c>
      <c s="6" r="J12" t="n">
        <v>275</v>
      </c>
      <c s="4" r="K12" t="n">
        <v>0</v>
      </c>
      <c s="6" r="L12" t="n">
        <v>0</v>
      </c>
      <c s="7" r="M12" t="n">
        <v>0</v>
      </c>
      <c s="6" r="N12" t="n">
        <v>0</v>
      </c>
      <c s="7" r="O12" t="n">
        <v>0</v>
      </c>
      <c s="6" r="P12" t="n">
        <v>0</v>
      </c>
      <c s="6" r="Q12" t="n">
        <v>0</v>
      </c>
      <c s="6" r="R12" t="n">
        <v>0.71</v>
      </c>
      <c s="6" r="S12" t="n">
        <v>275</v>
      </c>
      <c s="3" r="T12" t="s">
        <v>24</v>
      </c>
    </row>
    <row r="13" customHeight="1" ht="15" spans="1:20">
      <c s="3" r="A13" t="s">
        <v>41</v>
      </c>
      <c s="3" r="B13" t="s">
        <v>29</v>
      </c>
      <c s="3" r="C13" t="s">
        <v>22</v>
      </c>
      <c s="3" r="D13"/>
      <c s="4" r="E13" t="n">
        <v>60</v>
      </c>
      <c s="4" r="F13" t="n">
        <v>0.67</v>
      </c>
      <c s="5" r="G13" t="n">
        <v>0</v>
      </c>
      <c s="5" r="H13" t="n">
        <v>0</v>
      </c>
      <c s="6" r="I13" t="n">
        <v>0</v>
      </c>
      <c s="6" r="J13" t="n">
        <v>0</v>
      </c>
      <c s="4" r="K13" t="n">
        <v>0</v>
      </c>
      <c s="6" r="L13" t="n">
        <v>0</v>
      </c>
      <c s="7" r="M13" t="n">
        <v>0</v>
      </c>
      <c s="6" r="N13" t="n">
        <v>0</v>
      </c>
      <c s="7" r="O13" t="n">
        <v>0</v>
      </c>
      <c s="6" r="P13" t="n">
        <v>0</v>
      </c>
      <c s="6" r="Q13" t="n">
        <v>0</v>
      </c>
      <c s="6" r="R13" t="n">
        <v>0</v>
      </c>
      <c s="6" r="S13" t="n">
        <v>0</v>
      </c>
      <c s="3" r="T13" t="s">
        <v>24</v>
      </c>
    </row>
    <row r="14" customHeight="1" ht="15" spans="1:20">
      <c s="3" r="A14" t="s">
        <v>42</v>
      </c>
      <c s="3" r="B14" t="s">
        <v>29</v>
      </c>
      <c s="3" r="C14" t="s">
        <v>22</v>
      </c>
      <c s="3" r="D14" t="s">
        <v>37</v>
      </c>
      <c s="4" r="E14" t="n">
        <v>220</v>
      </c>
      <c s="4" r="F14" t="n">
        <v>2.13</v>
      </c>
      <c s="5" r="G14" t="n">
        <v>0</v>
      </c>
      <c s="5" r="H14" t="n">
        <v>0</v>
      </c>
      <c s="6" r="I14" t="n">
        <v>0</v>
      </c>
      <c s="6" r="J14" t="n">
        <v>0</v>
      </c>
      <c s="4" r="K14" t="n">
        <v>30</v>
      </c>
      <c s="6" r="L14" t="n">
        <v>135</v>
      </c>
      <c s="7" r="M14" t="n">
        <v>0.14</v>
      </c>
      <c s="6" r="N14" t="n">
        <v>0</v>
      </c>
      <c s="7" r="O14" t="n">
        <v>0</v>
      </c>
      <c s="6" r="P14" t="n">
        <v>0</v>
      </c>
      <c s="6" r="Q14" t="n">
        <v>0</v>
      </c>
      <c s="6" r="R14" t="n">
        <v>0</v>
      </c>
      <c s="6" r="S14" t="n">
        <v>0</v>
      </c>
      <c s="3" r="T14" t="s">
        <v>24</v>
      </c>
    </row>
    <row r="15" customHeight="1" ht="15" spans="1:20">
      <c s="3" r="A15" t="s">
        <v>43</v>
      </c>
      <c s="3" r="B15" t="s">
        <v>29</v>
      </c>
      <c s="3" r="C15" t="s">
        <v>22</v>
      </c>
      <c s="3" r="D15" t="s">
        <v>37</v>
      </c>
      <c s="4" r="E15" t="n">
        <v>120</v>
      </c>
      <c s="4" r="F15" t="n">
        <v>0.38</v>
      </c>
      <c s="5" r="G15" t="n">
        <v>300</v>
      </c>
      <c s="5" r="H15" t="n">
        <v>2.5</v>
      </c>
      <c s="6" r="I15" t="n">
        <v>0.14</v>
      </c>
      <c s="6" r="J15" t="n">
        <v>250</v>
      </c>
      <c s="4" r="K15" t="n">
        <v>0</v>
      </c>
      <c s="6" r="L15" t="n">
        <v>0</v>
      </c>
      <c s="7" r="M15" t="n">
        <v>0</v>
      </c>
      <c s="6" r="N15" t="n">
        <v>0</v>
      </c>
      <c s="7" r="O15" t="n">
        <v>0</v>
      </c>
      <c s="6" r="P15" t="n">
        <v>0</v>
      </c>
      <c s="6" r="Q15" t="n">
        <v>0</v>
      </c>
      <c s="6" r="R15" t="n">
        <v>2.08</v>
      </c>
      <c s="6" r="S15" t="n">
        <v>250</v>
      </c>
      <c s="3" r="T15" t="s">
        <v>24</v>
      </c>
    </row>
    <row r="16" customHeight="1" ht="15" spans="1:20">
      <c s="3" r="A16" t="s">
        <v>44</v>
      </c>
      <c s="3" r="B16" t="s">
        <v>29</v>
      </c>
      <c s="3" r="C16" t="s">
        <v>22</v>
      </c>
      <c s="3" r="D16" t="s">
        <v>37</v>
      </c>
      <c s="4" r="E16" t="n">
        <v>210</v>
      </c>
      <c s="4" r="F16" t="n">
        <v>0.74</v>
      </c>
      <c s="5" r="G16" t="n">
        <v>750</v>
      </c>
      <c s="5" r="H16" t="n">
        <v>3.57</v>
      </c>
      <c s="6" r="I16" t="n">
        <v>0.35</v>
      </c>
      <c s="6" r="J16" t="n">
        <v>625</v>
      </c>
      <c s="4" r="K16" t="n">
        <v>0</v>
      </c>
      <c s="6" r="L16" t="n">
        <v>0</v>
      </c>
      <c s="7" r="M16" t="n">
        <v>0</v>
      </c>
      <c s="6" r="N16" t="n">
        <v>0</v>
      </c>
      <c s="7" r="O16" t="n">
        <v>0</v>
      </c>
      <c s="6" r="P16" t="n">
        <v>0</v>
      </c>
      <c s="6" r="Q16" t="n">
        <v>0</v>
      </c>
      <c s="6" r="R16" t="n">
        <v>2.98</v>
      </c>
      <c s="6" r="S16" t="n">
        <v>625</v>
      </c>
      <c s="3" r="T16" t="s">
        <v>24</v>
      </c>
    </row>
    <row r="17" customHeight="1" ht="15" spans="1:20">
      <c s="3" r="A17" t="s">
        <v>45</v>
      </c>
      <c s="3" r="B17" t="s">
        <v>29</v>
      </c>
      <c s="3" r="C17" t="s">
        <v>22</v>
      </c>
      <c s="3" r="D17" t="s">
        <v>37</v>
      </c>
      <c s="4" r="E17" t="n">
        <v>50</v>
      </c>
      <c s="4" r="F17" t="n">
        <v>0.56</v>
      </c>
      <c s="5" r="G17" t="n">
        <v>0</v>
      </c>
      <c s="5" r="H17" t="n">
        <v>0</v>
      </c>
      <c s="6" r="I17" t="n">
        <v>0</v>
      </c>
      <c s="6" r="J17" t="n">
        <v>0</v>
      </c>
      <c s="4" r="K17" t="n">
        <v>0</v>
      </c>
      <c s="6" r="L17" t="n">
        <v>0</v>
      </c>
      <c s="7" r="M17" t="n">
        <v>0</v>
      </c>
      <c s="6" r="N17" t="n">
        <v>0</v>
      </c>
      <c s="7" r="O17" t="n">
        <v>0</v>
      </c>
      <c s="6" r="P17" t="n">
        <v>0</v>
      </c>
      <c s="6" r="Q17" t="n">
        <v>0</v>
      </c>
      <c s="6" r="R17" t="n">
        <v>0</v>
      </c>
      <c s="6" r="S17" t="n">
        <v>0</v>
      </c>
      <c s="3" r="T17" t="s">
        <v>24</v>
      </c>
    </row>
    <row r="18" customHeight="1" ht="15" spans="1:20">
      <c s="3" r="A18" t="s">
        <v>46</v>
      </c>
      <c s="3" r="B18" t="s">
        <v>21</v>
      </c>
      <c s="3" r="C18" t="s">
        <v>22</v>
      </c>
      <c s="3" r="D18" t="s">
        <v>37</v>
      </c>
      <c s="4" r="E18" t="n">
        <v>90</v>
      </c>
      <c s="4" r="F18" t="n">
        <v>1</v>
      </c>
      <c s="5" r="G18" t="n">
        <v>297</v>
      </c>
      <c s="5" r="H18" t="n">
        <v>3.3</v>
      </c>
      <c s="6" r="I18" t="n">
        <v>3.3</v>
      </c>
      <c s="6" r="J18" t="n">
        <v>247.5</v>
      </c>
      <c s="4" r="K18" t="n">
        <v>0</v>
      </c>
      <c s="6" r="L18" t="n">
        <v>0</v>
      </c>
      <c s="7" r="M18" t="n">
        <v>0</v>
      </c>
      <c s="6" r="N18" t="n">
        <v>33</v>
      </c>
      <c s="7" r="O18" t="n">
        <v>0.1</v>
      </c>
      <c s="6" r="P18" t="n">
        <v>0</v>
      </c>
      <c s="6" r="Q18" t="n">
        <v>0</v>
      </c>
      <c s="6" r="R18" t="n">
        <v>2.75</v>
      </c>
      <c s="6" r="S18" t="n">
        <v>247.5</v>
      </c>
      <c s="3" r="T18" t="s">
        <v>24</v>
      </c>
    </row>
    <row r="19" customHeight="1" ht="15" spans="1:20">
      <c s="3" r="A19" t="s">
        <v>47</v>
      </c>
      <c s="3" r="B19" t="s">
        <v>21</v>
      </c>
      <c s="3" r="C19" t="s">
        <v>22</v>
      </c>
      <c s="3" r="D19" t="s">
        <v>31</v>
      </c>
      <c s="4" r="E19" t="n">
        <v>141</v>
      </c>
      <c s="4" r="F19" t="n">
        <v>0.07</v>
      </c>
      <c s="5" r="G19" t="n">
        <v>465.3</v>
      </c>
      <c s="5" r="H19" t="n">
        <v>3.3</v>
      </c>
      <c s="6" r="I19" t="n">
        <v>0.22</v>
      </c>
      <c s="6" r="J19" t="n">
        <v>387.75</v>
      </c>
      <c s="4" r="K19" t="n">
        <v>0</v>
      </c>
      <c s="6" r="L19" t="n">
        <v>0</v>
      </c>
      <c s="7" r="M19" t="n">
        <v>0</v>
      </c>
      <c s="6" r="N19" t="n">
        <v>0</v>
      </c>
      <c s="7" r="O19" t="n">
        <v>0</v>
      </c>
      <c s="6" r="P19" t="n">
        <v>0</v>
      </c>
      <c s="6" r="Q19" t="n">
        <v>0</v>
      </c>
      <c s="6" r="R19" t="n">
        <v>2.75</v>
      </c>
      <c s="6" r="S19" t="n">
        <v>387.75</v>
      </c>
      <c s="3" r="T19" t="s">
        <v>24</v>
      </c>
    </row>
    <row r="20" customHeight="1" ht="15" spans="1:20">
      <c s="3" r="A20" t="s">
        <v>48</v>
      </c>
      <c s="3" r="B20" t="s">
        <v>21</v>
      </c>
      <c s="3" r="C20" t="s">
        <v>22</v>
      </c>
      <c s="3" r="D20" t="s">
        <v>33</v>
      </c>
      <c s="4" r="E20" t="n">
        <v>275</v>
      </c>
      <c s="4" r="F20" t="n">
        <v>0.13</v>
      </c>
      <c s="5" r="G20" t="n">
        <v>907.5</v>
      </c>
      <c s="5" r="H20" t="n">
        <v>3.3</v>
      </c>
      <c s="6" r="I20" t="n">
        <v>0.43</v>
      </c>
      <c s="6" r="J20" t="n">
        <v>756.25</v>
      </c>
      <c s="4" r="K20" t="n">
        <v>0</v>
      </c>
      <c s="6" r="L20" t="n">
        <v>0</v>
      </c>
      <c s="7" r="M20" t="n">
        <v>0</v>
      </c>
      <c s="6" r="N20" t="n">
        <v>0</v>
      </c>
      <c s="7" r="O20" t="n">
        <v>0</v>
      </c>
      <c s="6" r="P20" t="n">
        <v>0</v>
      </c>
      <c s="6" r="Q20" t="n">
        <v>0</v>
      </c>
      <c s="6" r="R20" t="n">
        <v>2.75</v>
      </c>
      <c s="6" r="S20" t="n">
        <v>756.25</v>
      </c>
      <c s="3" r="T20" t="s">
        <v>24</v>
      </c>
    </row>
    <row r="21" customHeight="1" ht="15" spans="1:20">
      <c s="3" r="A21" t="s">
        <v>49</v>
      </c>
      <c s="3" r="B21" t="s">
        <v>21</v>
      </c>
      <c s="3" r="C21" t="s">
        <v>22</v>
      </c>
      <c s="3" r="D21" t="s">
        <v>50</v>
      </c>
      <c s="4" r="E21" t="n">
        <v>89</v>
      </c>
      <c s="4" r="F21" t="n">
        <v>0.04</v>
      </c>
      <c s="5" r="G21" t="n">
        <v>293.7</v>
      </c>
      <c s="5" r="H21" t="n">
        <v>3.3</v>
      </c>
      <c s="6" r="I21" t="n">
        <v>0.14</v>
      </c>
      <c s="6" r="J21" t="n">
        <v>244.75</v>
      </c>
      <c s="4" r="K21" t="n">
        <v>0</v>
      </c>
      <c s="6" r="L21" t="n">
        <v>0</v>
      </c>
      <c s="7" r="M21" t="n">
        <v>0</v>
      </c>
      <c s="6" r="N21" t="n">
        <v>0</v>
      </c>
      <c s="7" r="O21" t="n">
        <v>0</v>
      </c>
      <c s="6" r="P21" t="n">
        <v>0</v>
      </c>
      <c s="6" r="Q21" t="n">
        <v>0</v>
      </c>
      <c s="6" r="R21" t="n">
        <v>2.75</v>
      </c>
      <c s="6" r="S21" t="n">
        <v>244.75</v>
      </c>
      <c s="3" r="T21" t="s">
        <v>24</v>
      </c>
    </row>
    <row r="22" customHeight="1" ht="15" spans="1:20">
      <c s="3" r="A22" t="s">
        <v>51</v>
      </c>
      <c s="3" r="B22" t="s">
        <v>21</v>
      </c>
      <c s="3" r="C22" t="s">
        <v>22</v>
      </c>
      <c s="3" r="D22" t="s">
        <v>52</v>
      </c>
      <c s="4" r="E22" t="n">
        <v>73</v>
      </c>
      <c s="4" r="F22" t="n">
        <v>0.03</v>
      </c>
      <c s="5" r="G22" t="n">
        <v>240.9</v>
      </c>
      <c s="5" r="H22" t="n">
        <v>3.3</v>
      </c>
      <c s="6" r="I22" t="n">
        <v>0.11</v>
      </c>
      <c s="6" r="J22" t="n">
        <v>200.75</v>
      </c>
      <c s="4" r="K22" t="n">
        <v>0</v>
      </c>
      <c s="6" r="L22" t="n">
        <v>0</v>
      </c>
      <c s="7" r="M22" t="n">
        <v>0</v>
      </c>
      <c s="6" r="N22" t="n">
        <v>0</v>
      </c>
      <c s="7" r="O22" t="n">
        <v>0</v>
      </c>
      <c s="6" r="P22" t="n">
        <v>0</v>
      </c>
      <c s="6" r="Q22" t="n">
        <v>0</v>
      </c>
      <c s="6" r="R22" t="n">
        <v>2.75</v>
      </c>
      <c s="6" r="S22" t="n">
        <v>200.75</v>
      </c>
      <c s="3" r="T22" t="s">
        <v>24</v>
      </c>
    </row>
    <row r="23" customHeight="1" ht="15" spans="1:20">
      <c s="3" r="A23" t="s">
        <v>53</v>
      </c>
      <c s="3" r="B23" t="s">
        <v>21</v>
      </c>
      <c s="3" r="C23" t="s">
        <v>22</v>
      </c>
      <c s="3" r="D23" t="s">
        <v>31</v>
      </c>
      <c s="4" r="E23" t="n">
        <v>223</v>
      </c>
      <c s="4" r="F23" t="n">
        <v>0.1</v>
      </c>
      <c s="5" r="G23" t="n">
        <v>1449.5</v>
      </c>
      <c s="5" r="H23" t="n">
        <v>6.5</v>
      </c>
      <c s="6" r="I23" t="n">
        <v>0.68</v>
      </c>
      <c s="6" r="J23" t="n">
        <v>1207.99</v>
      </c>
      <c s="4" r="K23" t="n">
        <v>0</v>
      </c>
      <c s="6" r="L23" t="n">
        <v>0</v>
      </c>
      <c s="7" r="M23" t="n">
        <v>0</v>
      </c>
      <c s="6" r="N23" t="n">
        <v>0</v>
      </c>
      <c s="7" r="O23" t="n">
        <v>0</v>
      </c>
      <c s="6" r="P23" t="n">
        <v>0</v>
      </c>
      <c s="6" r="Q23" t="n">
        <v>0</v>
      </c>
      <c s="6" r="R23" t="n">
        <v>5.42</v>
      </c>
      <c s="6" r="S23" t="n">
        <v>1207.99</v>
      </c>
      <c s="3" r="T23" t="s">
        <v>24</v>
      </c>
    </row>
    <row r="24" customHeight="1" ht="15" spans="1:20">
      <c s="3" r="A24" t="s">
        <v>54</v>
      </c>
      <c s="3" r="B24" t="s">
        <v>21</v>
      </c>
      <c s="3" r="C24" t="s">
        <v>22</v>
      </c>
      <c s="3" r="D24" t="s">
        <v>33</v>
      </c>
      <c s="4" r="E24" t="n">
        <v>616</v>
      </c>
      <c s="4" r="F24" t="n">
        <v>0.29</v>
      </c>
      <c s="5" r="G24" t="n">
        <v>4004</v>
      </c>
      <c s="5" r="H24" t="n">
        <v>6.5</v>
      </c>
      <c s="6" r="I24" t="n">
        <v>1.88</v>
      </c>
      <c s="6" r="J24" t="n">
        <v>3336.87</v>
      </c>
      <c s="4" r="K24" t="n">
        <v>0</v>
      </c>
      <c s="6" r="L24" t="n">
        <v>0</v>
      </c>
      <c s="7" r="M24" t="n">
        <v>0</v>
      </c>
      <c s="6" r="N24" t="n">
        <v>0</v>
      </c>
      <c s="7" r="O24" t="n">
        <v>0</v>
      </c>
      <c s="6" r="P24" t="n">
        <v>0</v>
      </c>
      <c s="6" r="Q24" t="n">
        <v>0</v>
      </c>
      <c s="6" r="R24" t="n">
        <v>5.42</v>
      </c>
      <c s="6" r="S24" t="n">
        <v>3336.87</v>
      </c>
      <c s="3" r="T24" t="s">
        <v>24</v>
      </c>
    </row>
    <row r="25" customHeight="1" ht="15" spans="1:20">
      <c s="3" r="A25" t="s">
        <v>55</v>
      </c>
      <c s="3" r="B25" t="s">
        <v>21</v>
      </c>
      <c s="3" r="C25" t="s">
        <v>22</v>
      </c>
      <c s="3" r="D25" t="s">
        <v>50</v>
      </c>
      <c s="4" r="E25" t="n">
        <v>81</v>
      </c>
      <c s="4" r="F25" t="n">
        <v>0.04</v>
      </c>
      <c s="5" r="G25" t="n">
        <v>526.5</v>
      </c>
      <c s="5" r="H25" t="n">
        <v>6.5</v>
      </c>
      <c s="6" r="I25" t="n">
        <v>0.25</v>
      </c>
      <c s="6" r="J25" t="n">
        <v>438.78</v>
      </c>
      <c s="4" r="K25" t="n">
        <v>0</v>
      </c>
      <c s="6" r="L25" t="n">
        <v>0</v>
      </c>
      <c s="7" r="M25" t="n">
        <v>0</v>
      </c>
      <c s="6" r="N25" t="n">
        <v>0</v>
      </c>
      <c s="7" r="O25" t="n">
        <v>0</v>
      </c>
      <c s="6" r="P25" t="n">
        <v>0</v>
      </c>
      <c s="6" r="Q25" t="n">
        <v>0</v>
      </c>
      <c s="6" r="R25" t="n">
        <v>5.42</v>
      </c>
      <c s="6" r="S25" t="n">
        <v>438.78</v>
      </c>
      <c s="3" r="T25" t="s">
        <v>24</v>
      </c>
    </row>
    <row r="26" customHeight="1" ht="15" spans="1:20">
      <c s="3" r="A26" t="s">
        <v>56</v>
      </c>
      <c s="3" r="B26" t="s">
        <v>21</v>
      </c>
      <c s="3" r="C26" t="s">
        <v>22</v>
      </c>
      <c s="3" r="D26" t="s">
        <v>26</v>
      </c>
      <c s="4" r="E26" t="n">
        <v>86</v>
      </c>
      <c s="4" r="F26" t="n">
        <v>0.04</v>
      </c>
      <c s="5" r="G26" t="n">
        <v>558.5</v>
      </c>
      <c s="5" r="H26" t="n">
        <v>6.49</v>
      </c>
      <c s="6" r="I26" t="n">
        <v>0.26</v>
      </c>
      <c s="6" r="J26" t="n">
        <v>465.45</v>
      </c>
      <c s="4" r="K26" t="n">
        <v>0</v>
      </c>
      <c s="6" r="L26" t="n">
        <v>0</v>
      </c>
      <c s="7" r="M26" t="n">
        <v>0</v>
      </c>
      <c s="6" r="N26" t="n">
        <v>0</v>
      </c>
      <c s="7" r="O26" t="n">
        <v>0</v>
      </c>
      <c s="6" r="P26" t="n">
        <v>0</v>
      </c>
      <c s="6" r="Q26" t="n">
        <v>0</v>
      </c>
      <c s="6" r="R26" t="n">
        <v>5.41</v>
      </c>
      <c s="6" r="S26" t="n">
        <v>465.45</v>
      </c>
      <c s="3" r="T26" t="s">
        <v>24</v>
      </c>
    </row>
    <row r="27" customHeight="1" ht="15" spans="1:20">
      <c s="3" r="A27" t="s">
        <v>57</v>
      </c>
      <c s="3" r="B27" t="s">
        <v>21</v>
      </c>
      <c s="3" r="C27" t="s">
        <v>22</v>
      </c>
      <c s="3" r="D27" t="s">
        <v>52</v>
      </c>
      <c s="4" r="E27" t="n">
        <v>236</v>
      </c>
      <c s="4" r="F27" t="n">
        <v>0.11</v>
      </c>
      <c s="5" r="G27" t="n">
        <v>1534</v>
      </c>
      <c s="5" r="H27" t="n">
        <v>6.5</v>
      </c>
      <c s="6" r="I27" t="n">
        <v>0.72</v>
      </c>
      <c s="6" r="J27" t="n">
        <v>1278.41</v>
      </c>
      <c s="4" r="K27" t="n">
        <v>0</v>
      </c>
      <c s="6" r="L27" t="n">
        <v>0</v>
      </c>
      <c s="7" r="M27" t="n">
        <v>0</v>
      </c>
      <c s="6" r="N27" t="n">
        <v>0</v>
      </c>
      <c s="7" r="O27" t="n">
        <v>0</v>
      </c>
      <c s="6" r="P27" t="n">
        <v>0</v>
      </c>
      <c s="6" r="Q27" t="n">
        <v>0</v>
      </c>
      <c s="6" r="R27" t="n">
        <v>5.42</v>
      </c>
      <c s="6" r="S27" t="n">
        <v>1278.41</v>
      </c>
      <c s="3" r="T27" t="s">
        <v>24</v>
      </c>
    </row>
    <row r="28" customHeight="1" ht="15" spans="1:20">
      <c s="3" r="A28" t="s">
        <v>58</v>
      </c>
      <c s="3" r="B28" t="s">
        <v>29</v>
      </c>
      <c s="3" r="C28" t="s">
        <v>22</v>
      </c>
      <c s="3" r="D28" t="s">
        <v>26</v>
      </c>
      <c s="4" r="E28" t="n">
        <v>150</v>
      </c>
      <c s="4" r="F28" t="n">
        <v>0.07</v>
      </c>
      <c s="5" r="G28" t="n">
        <v>0</v>
      </c>
      <c s="5" r="H28" t="n">
        <v>0</v>
      </c>
      <c s="6" r="I28" t="n">
        <v>0</v>
      </c>
      <c s="6" r="J28" t="n">
        <v>0</v>
      </c>
      <c s="4" r="K28" t="n">
        <v>0</v>
      </c>
      <c s="6" r="L28" t="n">
        <v>0</v>
      </c>
      <c s="7" r="M28" t="n">
        <v>0</v>
      </c>
      <c s="6" r="N28" t="n">
        <v>0</v>
      </c>
      <c s="7" r="O28" t="n">
        <v>0</v>
      </c>
      <c s="6" r="P28" t="n">
        <v>0</v>
      </c>
      <c s="6" r="Q28" t="n">
        <v>0</v>
      </c>
      <c s="6" r="R28" t="n">
        <v>0</v>
      </c>
      <c s="6" r="S28" t="n">
        <v>0</v>
      </c>
      <c s="3" r="T28" t="s">
        <v>24</v>
      </c>
    </row>
    <row r="29" customHeight="1" ht="15" spans="1:20">
      <c s="3" r="A29" t="s">
        <v>59</v>
      </c>
      <c s="3" r="B29" t="s">
        <v>29</v>
      </c>
      <c s="3" r="C29" t="s">
        <v>22</v>
      </c>
      <c s="3" r="D29" t="s">
        <v>52</v>
      </c>
      <c s="4" r="E29" t="n">
        <v>120</v>
      </c>
      <c s="4" r="F29" t="n">
        <v>0.06</v>
      </c>
      <c s="5" r="G29" t="n">
        <v>0</v>
      </c>
      <c s="5" r="H29" t="n">
        <v>0</v>
      </c>
      <c s="6" r="I29" t="n">
        <v>0</v>
      </c>
      <c s="6" r="J29" t="n">
        <v>0</v>
      </c>
      <c s="4" r="K29" t="n">
        <v>0</v>
      </c>
      <c s="6" r="L29" t="n">
        <v>0</v>
      </c>
      <c s="7" r="M29" t="n">
        <v>0</v>
      </c>
      <c s="6" r="N29" t="n">
        <v>0</v>
      </c>
      <c s="7" r="O29" t="n">
        <v>0</v>
      </c>
      <c s="6" r="P29" t="n">
        <v>0</v>
      </c>
      <c s="6" r="Q29" t="n">
        <v>0</v>
      </c>
      <c s="6" r="R29" t="n">
        <v>0</v>
      </c>
      <c s="6" r="S29" t="n">
        <v>0</v>
      </c>
      <c s="3" r="T29" t="s">
        <v>24</v>
      </c>
    </row>
    <row r="30" customHeight="1" ht="15" spans="1:20">
      <c s="3" r="A30" t="s">
        <v>60</v>
      </c>
      <c s="3" r="B30" t="s">
        <v>21</v>
      </c>
      <c s="3" r="C30" t="s">
        <v>22</v>
      </c>
      <c s="3" r="D30" t="s">
        <v>23</v>
      </c>
      <c s="4" r="E30" t="n">
        <v>91</v>
      </c>
      <c s="4" r="F30" t="n">
        <v>0.04</v>
      </c>
      <c s="5" r="G30" t="n">
        <v>1000</v>
      </c>
      <c s="5" r="H30" t="n">
        <v>10.99</v>
      </c>
      <c s="6" r="I30" t="n">
        <v>0.47</v>
      </c>
      <c s="6" r="J30" t="n">
        <v>833.36</v>
      </c>
      <c s="4" r="K30" t="n">
        <v>0</v>
      </c>
      <c s="6" r="L30" t="n">
        <v>0</v>
      </c>
      <c s="7" r="M30" t="n">
        <v>0</v>
      </c>
      <c s="6" r="N30" t="n">
        <v>0</v>
      </c>
      <c s="7" r="O30" t="n">
        <v>0</v>
      </c>
      <c s="6" r="P30" t="n">
        <v>0</v>
      </c>
      <c s="6" r="Q30" t="n">
        <v>0</v>
      </c>
      <c s="6" r="R30" t="n">
        <v>9.16</v>
      </c>
      <c s="6" r="S30" t="n">
        <v>833.36</v>
      </c>
      <c s="3" r="T30" t="s">
        <v>24</v>
      </c>
    </row>
    <row r="31" customHeight="1" ht="15" spans="1:20">
      <c s="3" r="A31" t="s">
        <v>61</v>
      </c>
      <c s="3" r="B31" t="s">
        <v>21</v>
      </c>
      <c s="3" r="C31" t="s">
        <v>22</v>
      </c>
      <c s="3" r="D31"/>
      <c s="4" r="E31" t="n">
        <v>536</v>
      </c>
      <c s="4" r="F31" t="n">
        <v>0.25</v>
      </c>
      <c s="5" r="G31" t="n">
        <v>6967</v>
      </c>
      <c s="5" r="H31" t="n">
        <v>13</v>
      </c>
      <c s="6" r="I31" t="n">
        <v>3.27</v>
      </c>
      <c s="6" r="J31" t="n">
        <v>5805.66</v>
      </c>
      <c s="4" r="K31" t="n">
        <v>0</v>
      </c>
      <c s="6" r="L31" t="n">
        <v>0</v>
      </c>
      <c s="7" r="M31" t="n">
        <v>0</v>
      </c>
      <c s="6" r="N31" t="n">
        <v>0</v>
      </c>
      <c s="7" r="O31" t="n">
        <v>0</v>
      </c>
      <c s="6" r="P31" t="n">
        <v>0</v>
      </c>
      <c s="6" r="Q31" t="n">
        <v>0</v>
      </c>
      <c s="6" r="R31" t="n">
        <v>10.83</v>
      </c>
      <c s="6" r="S31" t="n">
        <v>5805.66</v>
      </c>
      <c s="3" r="T31" t="s">
        <v>24</v>
      </c>
    </row>
    <row r="32" customHeight="1" ht="15" spans="1:20">
      <c s="3" r="A32" t="s">
        <v>62</v>
      </c>
      <c s="3" r="B32" t="s">
        <v>21</v>
      </c>
      <c s="3" r="C32" t="s">
        <v>22</v>
      </c>
      <c s="3" r="D32" t="s">
        <v>23</v>
      </c>
      <c s="4" r="E32" t="n">
        <v>108</v>
      </c>
      <c s="4" r="F32" t="n">
        <v>0.05</v>
      </c>
      <c s="5" r="G32" t="n">
        <v>410.4</v>
      </c>
      <c s="5" r="H32" t="n">
        <v>3.8</v>
      </c>
      <c s="6" r="I32" t="n">
        <v>0.19</v>
      </c>
      <c s="6" r="J32" t="n">
        <v>342.04</v>
      </c>
      <c s="4" r="K32" t="n">
        <v>0</v>
      </c>
      <c s="6" r="L32" t="n">
        <v>0</v>
      </c>
      <c s="7" r="M32" t="n">
        <v>0</v>
      </c>
      <c s="6" r="N32" t="n">
        <v>0</v>
      </c>
      <c s="7" r="O32" t="n">
        <v>0</v>
      </c>
      <c s="6" r="P32" t="n">
        <v>0</v>
      </c>
      <c s="6" r="Q32" t="n">
        <v>0</v>
      </c>
      <c s="6" r="R32" t="n">
        <v>3.17</v>
      </c>
      <c s="6" r="S32" t="n">
        <v>342.04</v>
      </c>
      <c s="3" r="T32" t="s">
        <v>24</v>
      </c>
    </row>
    <row r="33" customHeight="1" ht="15" spans="1:20">
      <c s="3" r="A33" t="s">
        <v>63</v>
      </c>
      <c s="3" r="B33" t="s">
        <v>21</v>
      </c>
      <c s="3" r="C33" t="s">
        <v>22</v>
      </c>
      <c s="3" r="D33" t="s">
        <v>31</v>
      </c>
      <c s="4" r="E33" t="n">
        <v>112</v>
      </c>
      <c s="4" r="F33" t="n">
        <v>0.05</v>
      </c>
      <c s="5" r="G33" t="n">
        <v>492.8</v>
      </c>
      <c s="5" r="H33" t="n">
        <v>4.4</v>
      </c>
      <c s="6" r="I33" t="n">
        <v>0.23</v>
      </c>
      <c s="6" r="J33" t="n">
        <v>410.7</v>
      </c>
      <c s="4" r="K33" t="n">
        <v>0</v>
      </c>
      <c s="6" r="L33" t="n">
        <v>0</v>
      </c>
      <c s="7" r="M33" t="n">
        <v>0</v>
      </c>
      <c s="6" r="N33" t="n">
        <v>0</v>
      </c>
      <c s="7" r="O33" t="n">
        <v>0</v>
      </c>
      <c s="6" r="P33" t="n">
        <v>0</v>
      </c>
      <c s="6" r="Q33" t="n">
        <v>0</v>
      </c>
      <c s="6" r="R33" t="n">
        <v>3.67</v>
      </c>
      <c s="6" r="S33" t="n">
        <v>410.7</v>
      </c>
      <c s="3" r="T33" t="s">
        <v>24</v>
      </c>
    </row>
    <row r="34" customHeight="1" ht="15" spans="1:20">
      <c s="3" r="A34" t="s">
        <v>64</v>
      </c>
      <c s="3" r="B34" t="s">
        <v>21</v>
      </c>
      <c s="3" r="C34" t="s">
        <v>22</v>
      </c>
      <c s="3" r="D34" t="s">
        <v>26</v>
      </c>
      <c s="4" r="E34" t="n">
        <v>78</v>
      </c>
      <c s="4" r="F34" t="n">
        <v>0.04</v>
      </c>
      <c s="5" r="G34" t="n">
        <v>343.2</v>
      </c>
      <c s="5" r="H34" t="n">
        <v>4.4</v>
      </c>
      <c s="6" r="I34" t="n">
        <v>0.16</v>
      </c>
      <c s="6" r="J34" t="n">
        <v>286.03</v>
      </c>
      <c s="4" r="K34" t="n">
        <v>0</v>
      </c>
      <c s="6" r="L34" t="n">
        <v>0</v>
      </c>
      <c s="7" r="M34" t="n">
        <v>0</v>
      </c>
      <c s="6" r="N34" t="n">
        <v>0</v>
      </c>
      <c s="7" r="O34" t="n">
        <v>0</v>
      </c>
      <c s="6" r="P34" t="n">
        <v>0</v>
      </c>
      <c s="6" r="Q34" t="n">
        <v>0</v>
      </c>
      <c s="6" r="R34" t="n">
        <v>3.67</v>
      </c>
      <c s="6" r="S34" t="n">
        <v>286.03</v>
      </c>
      <c s="3" r="T34" t="s">
        <v>24</v>
      </c>
    </row>
    <row r="35" customHeight="1" ht="15" spans="1:20">
      <c s="3" r="A35" t="s">
        <v>65</v>
      </c>
      <c s="3" r="B35" t="s">
        <v>21</v>
      </c>
      <c s="3" r="C35" t="s">
        <v>22</v>
      </c>
      <c s="3" r="D35" t="s">
        <v>50</v>
      </c>
      <c s="4" r="E35" t="n">
        <v>67</v>
      </c>
      <c s="4" r="F35" t="n">
        <v>0.03</v>
      </c>
      <c s="5" r="G35" t="n">
        <v>294.8</v>
      </c>
      <c s="5" r="H35" t="n">
        <v>4.4</v>
      </c>
      <c s="6" r="I35" t="n">
        <v>0.14</v>
      </c>
      <c s="6" r="J35" t="n">
        <v>245.69</v>
      </c>
      <c s="4" r="K35" t="n">
        <v>0</v>
      </c>
      <c s="6" r="L35" t="n">
        <v>0</v>
      </c>
      <c s="7" r="M35" t="n">
        <v>0</v>
      </c>
      <c s="6" r="N35" t="n">
        <v>0</v>
      </c>
      <c s="7" r="O35" t="n">
        <v>0</v>
      </c>
      <c s="6" r="P35" t="n">
        <v>0</v>
      </c>
      <c s="6" r="Q35" t="n">
        <v>0</v>
      </c>
      <c s="6" r="R35" t="n">
        <v>3.67</v>
      </c>
      <c s="6" r="S35" t="n">
        <v>245.69</v>
      </c>
      <c s="3" r="T35" t="s">
        <v>24</v>
      </c>
    </row>
    <row r="36" customHeight="1" ht="15" spans="1:20">
      <c s="3" r="A36" t="s">
        <v>66</v>
      </c>
      <c s="3" r="B36" t="s">
        <v>21</v>
      </c>
      <c s="3" r="C36" t="s">
        <v>22</v>
      </c>
      <c s="3" r="D36" t="s">
        <v>33</v>
      </c>
      <c s="4" r="E36" t="n">
        <v>179</v>
      </c>
      <c s="4" r="F36" t="n">
        <v>0.08</v>
      </c>
      <c s="5" r="G36" t="n">
        <v>787.6</v>
      </c>
      <c s="5" r="H36" t="n">
        <v>4.4</v>
      </c>
      <c s="6" r="I36" t="n">
        <v>0.37</v>
      </c>
      <c s="6" r="J36" t="n">
        <v>656.39</v>
      </c>
      <c s="4" r="K36" t="n">
        <v>0</v>
      </c>
      <c s="6" r="L36" t="n">
        <v>0</v>
      </c>
      <c s="7" r="M36" t="n">
        <v>0</v>
      </c>
      <c s="6" r="N36" t="n">
        <v>0</v>
      </c>
      <c s="7" r="O36" t="n">
        <v>0</v>
      </c>
      <c s="6" r="P36" t="n">
        <v>0</v>
      </c>
      <c s="6" r="Q36" t="n">
        <v>0</v>
      </c>
      <c s="6" r="R36" t="n">
        <v>3.67</v>
      </c>
      <c s="6" r="S36" t="n">
        <v>656.39</v>
      </c>
      <c s="3" r="T36" t="s">
        <v>24</v>
      </c>
    </row>
    <row r="37" customHeight="1" ht="15" spans="1:20">
      <c s="3" r="A37" t="s">
        <v>67</v>
      </c>
      <c s="3" r="B37" t="s">
        <v>21</v>
      </c>
      <c s="3" r="C37" t="s">
        <v>22</v>
      </c>
      <c s="3" r="D37" t="s">
        <v>52</v>
      </c>
      <c s="4" r="E37" t="n">
        <v>47</v>
      </c>
      <c s="4" r="F37" t="n">
        <v>0.02</v>
      </c>
      <c s="5" r="G37" t="n">
        <v>206.8</v>
      </c>
      <c s="5" r="H37" t="n">
        <v>4.4</v>
      </c>
      <c s="6" r="I37" t="n">
        <v>0.1</v>
      </c>
      <c s="6" r="J37" t="n">
        <v>172.35</v>
      </c>
      <c s="4" r="K37" t="n">
        <v>0</v>
      </c>
      <c s="6" r="L37" t="n">
        <v>0</v>
      </c>
      <c s="7" r="M37" t="n">
        <v>0</v>
      </c>
      <c s="6" r="N37" t="n">
        <v>0</v>
      </c>
      <c s="7" r="O37" t="n">
        <v>0</v>
      </c>
      <c s="6" r="P37" t="n">
        <v>0</v>
      </c>
      <c s="6" r="Q37" t="n">
        <v>0</v>
      </c>
      <c s="6" r="R37" t="n">
        <v>3.67</v>
      </c>
      <c s="6" r="S37" t="n">
        <v>172.35</v>
      </c>
      <c s="3" r="T37" t="s">
        <v>24</v>
      </c>
    </row>
    <row r="38" customHeight="1" ht="15" spans="1:20">
      <c s="3" r="A38" t="s">
        <v>68</v>
      </c>
      <c s="3" r="B38" t="s">
        <v>21</v>
      </c>
      <c s="3" r="C38" t="s">
        <v>22</v>
      </c>
      <c s="3" r="D38" t="s">
        <v>37</v>
      </c>
      <c s="4" r="E38" t="n">
        <v>775</v>
      </c>
      <c s="4" r="F38" t="n">
        <v>0.36</v>
      </c>
      <c s="5" r="G38" t="n">
        <v>5425</v>
      </c>
      <c s="5" r="H38" t="n">
        <v>7</v>
      </c>
      <c s="6" r="I38" t="n">
        <v>2.55</v>
      </c>
      <c s="6" r="J38" t="n">
        <v>4520.58</v>
      </c>
      <c s="4" r="K38" t="n">
        <v>0</v>
      </c>
      <c s="6" r="L38" t="n">
        <v>0</v>
      </c>
      <c s="7" r="M38" t="n">
        <v>0</v>
      </c>
      <c s="6" r="N38" t="n">
        <v>0</v>
      </c>
      <c s="7" r="O38" t="n">
        <v>0</v>
      </c>
      <c s="6" r="P38" t="n">
        <v>0</v>
      </c>
      <c s="6" r="Q38" t="n">
        <v>0</v>
      </c>
      <c s="6" r="R38" t="n">
        <v>5.83</v>
      </c>
      <c s="6" r="S38" t="n">
        <v>4520.58</v>
      </c>
      <c s="3" r="T38" t="s">
        <v>24</v>
      </c>
    </row>
    <row r="39" customHeight="1" ht="15" spans="1:20">
      <c s="3" r="A39" t="s">
        <v>69</v>
      </c>
      <c s="3" r="B39" t="s">
        <v>29</v>
      </c>
      <c s="3" r="C39" t="s">
        <v>22</v>
      </c>
      <c s="3" r="D39" t="s">
        <v>37</v>
      </c>
      <c s="4" r="E39" t="n">
        <v>90</v>
      </c>
      <c s="4" r="F39" t="n">
        <v>0.04</v>
      </c>
      <c s="5" r="G39" t="n">
        <v>0</v>
      </c>
      <c s="5" r="H39" t="n">
        <v>0</v>
      </c>
      <c s="6" r="I39" t="n">
        <v>0</v>
      </c>
      <c s="6" r="J39" t="n">
        <v>0</v>
      </c>
      <c s="4" r="K39" t="n">
        <v>0</v>
      </c>
      <c s="6" r="L39" t="n">
        <v>0</v>
      </c>
      <c s="7" r="M39" t="n">
        <v>0</v>
      </c>
      <c s="6" r="N39" t="n">
        <v>0</v>
      </c>
      <c s="7" r="O39" t="n">
        <v>0</v>
      </c>
      <c s="6" r="P39" t="n">
        <v>0</v>
      </c>
      <c s="6" r="Q39" t="n">
        <v>0</v>
      </c>
      <c s="6" r="R39" t="n">
        <v>0</v>
      </c>
      <c s="6" r="S39" t="n">
        <v>0</v>
      </c>
      <c s="3" r="T39" t="s">
        <v>24</v>
      </c>
    </row>
    <row r="40" customHeight="1" ht="15" spans="1:20">
      <c s="3" r="A40" t="s">
        <v>70</v>
      </c>
      <c s="3" r="B40" t="s">
        <v>29</v>
      </c>
      <c s="3" r="C40" t="s">
        <v>22</v>
      </c>
      <c s="3" r="D40" t="s">
        <v>37</v>
      </c>
      <c s="4" r="E40" t="n">
        <v>60</v>
      </c>
      <c s="4" r="F40" t="n">
        <v>0.03</v>
      </c>
      <c s="5" r="G40" t="n">
        <v>300</v>
      </c>
      <c s="5" r="H40" t="n">
        <v>5</v>
      </c>
      <c s="6" r="I40" t="n">
        <v>0.14</v>
      </c>
      <c s="6" r="J40" t="n">
        <v>250</v>
      </c>
      <c s="4" r="K40" t="n">
        <v>0</v>
      </c>
      <c s="6" r="L40" t="n">
        <v>0</v>
      </c>
      <c s="7" r="M40" t="n">
        <v>0</v>
      </c>
      <c s="6" r="N40" t="n">
        <v>0</v>
      </c>
      <c s="7" r="O40" t="n">
        <v>0</v>
      </c>
      <c s="6" r="P40" t="n">
        <v>0</v>
      </c>
      <c s="6" r="Q40" t="n">
        <v>0</v>
      </c>
      <c s="6" r="R40" t="n">
        <v>4.17</v>
      </c>
      <c s="6" r="S40" t="n">
        <v>250</v>
      </c>
      <c s="3" r="T40" t="s">
        <v>24</v>
      </c>
    </row>
    <row r="41" customHeight="1" ht="15" spans="1:20">
      <c s="3" r="A41" t="s">
        <v>71</v>
      </c>
      <c s="3" r="B41" t="s">
        <v>29</v>
      </c>
      <c s="3" r="C41" t="s">
        <v>22</v>
      </c>
      <c s="3" r="D41" t="s">
        <v>37</v>
      </c>
      <c s="4" r="E41" t="n">
        <v>60</v>
      </c>
      <c s="4" r="F41" t="n">
        <v>0.03</v>
      </c>
      <c s="5" r="G41" t="n">
        <v>0</v>
      </c>
      <c s="5" r="H41" t="n">
        <v>0</v>
      </c>
      <c s="6" r="I41" t="n">
        <v>0</v>
      </c>
      <c s="6" r="J41" t="n">
        <v>0</v>
      </c>
      <c s="4" r="K41" t="n">
        <v>0</v>
      </c>
      <c s="6" r="L41" t="n">
        <v>0</v>
      </c>
      <c s="7" r="M41" t="n">
        <v>0</v>
      </c>
      <c s="6" r="N41" t="n">
        <v>0</v>
      </c>
      <c s="7" r="O41" t="n">
        <v>0</v>
      </c>
      <c s="6" r="P41" t="n">
        <v>0</v>
      </c>
      <c s="6" r="Q41" t="n">
        <v>0</v>
      </c>
      <c s="6" r="R41" t="n">
        <v>0</v>
      </c>
      <c s="6" r="S41" t="n">
        <v>0</v>
      </c>
      <c s="3" r="T41" t="s">
        <v>24</v>
      </c>
    </row>
    <row r="42" customHeight="1" ht="15" spans="1:20">
      <c s="3" r="A42" t="s">
        <v>72</v>
      </c>
      <c s="3" r="B42" t="s">
        <v>29</v>
      </c>
      <c s="3" r="C42" t="s">
        <v>22</v>
      </c>
      <c s="3" r="D42" t="s">
        <v>37</v>
      </c>
      <c s="4" r="E42" t="n">
        <v>80</v>
      </c>
      <c s="4" r="F42" t="n">
        <v>0.04</v>
      </c>
      <c s="5" r="G42" t="n">
        <v>0</v>
      </c>
      <c s="5" r="H42" t="n">
        <v>0</v>
      </c>
      <c s="6" r="I42" t="n">
        <v>0</v>
      </c>
      <c s="6" r="J42" t="n">
        <v>0</v>
      </c>
      <c s="4" r="K42" t="n">
        <v>0</v>
      </c>
      <c s="6" r="L42" t="n">
        <v>0</v>
      </c>
      <c s="7" r="M42" t="n">
        <v>0</v>
      </c>
      <c s="6" r="N42" t="n">
        <v>0</v>
      </c>
      <c s="7" r="O42" t="n">
        <v>0</v>
      </c>
      <c s="6" r="P42" t="n">
        <v>0</v>
      </c>
      <c s="6" r="Q42" t="n">
        <v>0</v>
      </c>
      <c s="6" r="R42" t="n">
        <v>0</v>
      </c>
      <c s="6" r="S42" t="n">
        <v>0</v>
      </c>
      <c s="3" r="T42" t="s">
        <v>24</v>
      </c>
    </row>
    <row r="43" customHeight="1" ht="15" spans="1:20">
      <c s="3" r="A43" t="s">
        <v>73</v>
      </c>
      <c s="3" r="B43" t="s">
        <v>29</v>
      </c>
      <c s="3" r="C43" t="s">
        <v>22</v>
      </c>
      <c s="3" r="D43" t="s">
        <v>37</v>
      </c>
      <c s="4" r="E43" t="n">
        <v>60</v>
      </c>
      <c s="4" r="F43" t="n">
        <v>0.03</v>
      </c>
      <c s="5" r="G43" t="n">
        <v>0</v>
      </c>
      <c s="5" r="H43" t="n">
        <v>0</v>
      </c>
      <c s="6" r="I43" t="n">
        <v>0</v>
      </c>
      <c s="6" r="J43" t="n">
        <v>0</v>
      </c>
      <c s="4" r="K43" t="n">
        <v>0</v>
      </c>
      <c s="6" r="L43" t="n">
        <v>0</v>
      </c>
      <c s="7" r="M43" t="n">
        <v>0</v>
      </c>
      <c s="6" r="N43" t="n">
        <v>0</v>
      </c>
      <c s="7" r="O43" t="n">
        <v>0</v>
      </c>
      <c s="6" r="P43" t="n">
        <v>0</v>
      </c>
      <c s="6" r="Q43" t="n">
        <v>0</v>
      </c>
      <c s="6" r="R43" t="n">
        <v>0</v>
      </c>
      <c s="6" r="S43" t="n">
        <v>0</v>
      </c>
      <c s="3" r="T43" t="s">
        <v>24</v>
      </c>
    </row>
    <row r="44" customHeight="1" ht="15" spans="1:20">
      <c s="3" r="A44" t="s">
        <v>74</v>
      </c>
      <c s="3" r="B44" t="s">
        <v>75</v>
      </c>
      <c s="3" r="C44" t="s">
        <v>22</v>
      </c>
      <c s="3" r="D44"/>
      <c s="4" r="E44" t="n">
        <v>6</v>
      </c>
      <c s="4" r="F44" t="n">
        <v>0</v>
      </c>
      <c s="5" r="G44" t="n">
        <v>90</v>
      </c>
      <c s="5" r="H44" t="n">
        <v>15</v>
      </c>
      <c s="6" r="I44" t="n">
        <v>0.04</v>
      </c>
      <c s="6" r="J44" t="n">
        <v>75</v>
      </c>
      <c s="4" r="K44" t="n">
        <v>0</v>
      </c>
      <c s="6" r="L44" t="n">
        <v>0</v>
      </c>
      <c s="7" r="M44" t="n">
        <v>0</v>
      </c>
      <c s="6" r="N44" t="n">
        <v>0</v>
      </c>
      <c s="7" r="O44" t="n">
        <v>0</v>
      </c>
      <c s="6" r="P44" t="n">
        <v>0</v>
      </c>
      <c s="6" r="Q44" t="n">
        <v>0</v>
      </c>
      <c s="6" r="R44" t="n">
        <v>12.5</v>
      </c>
      <c s="6" r="S44" t="n">
        <v>75</v>
      </c>
      <c s="3" r="T44" t="s">
        <v>24</v>
      </c>
    </row>
    <row r="45" customHeight="1" ht="15" spans="1:20">
      <c s="3" r="A45" t="s">
        <v>76</v>
      </c>
      <c s="3" r="B45" t="s">
        <v>29</v>
      </c>
      <c s="3" r="C45" t="s">
        <v>22</v>
      </c>
      <c s="3" r="D45" t="s">
        <v>37</v>
      </c>
      <c s="4" r="E45" t="n">
        <v>250</v>
      </c>
      <c s="4" r="F45" t="n">
        <v>0.12</v>
      </c>
      <c s="5" r="G45" t="n">
        <v>0</v>
      </c>
      <c s="5" r="H45" t="n">
        <v>0</v>
      </c>
      <c s="6" r="I45" t="n">
        <v>0</v>
      </c>
      <c s="6" r="J45" t="n">
        <v>0</v>
      </c>
      <c s="4" r="K45" t="n">
        <v>0</v>
      </c>
      <c s="6" r="L45" t="n">
        <v>0</v>
      </c>
      <c s="7" r="M45" t="n">
        <v>0</v>
      </c>
      <c s="6" r="N45" t="n">
        <v>0</v>
      </c>
      <c s="7" r="O45" t="n">
        <v>0</v>
      </c>
      <c s="6" r="P45" t="n">
        <v>0</v>
      </c>
      <c s="6" r="Q45" t="n">
        <v>0</v>
      </c>
      <c s="6" r="R45" t="n">
        <v>0</v>
      </c>
      <c s="6" r="S45" t="n">
        <v>0</v>
      </c>
      <c s="3" r="T45" t="s">
        <v>24</v>
      </c>
    </row>
    <row r="46" customHeight="1" ht="15" spans="1:20">
      <c s="3" r="A46" t="s">
        <v>77</v>
      </c>
      <c s="3" r="B46" t="s">
        <v>29</v>
      </c>
      <c s="3" r="C46" t="s">
        <v>22</v>
      </c>
      <c s="3" r="D46" t="s">
        <v>37</v>
      </c>
      <c s="4" r="E46" t="n">
        <v>200</v>
      </c>
      <c s="4" r="F46" t="n">
        <v>0.09</v>
      </c>
      <c s="5" r="G46" t="n">
        <v>0</v>
      </c>
      <c s="5" r="H46" t="n">
        <v>0</v>
      </c>
      <c s="6" r="I46" t="n">
        <v>0</v>
      </c>
      <c s="6" r="J46" t="n">
        <v>0</v>
      </c>
      <c s="4" r="K46" t="n">
        <v>0</v>
      </c>
      <c s="6" r="L46" t="n">
        <v>0</v>
      </c>
      <c s="7" r="M46" t="n">
        <v>0</v>
      </c>
      <c s="6" r="N46" t="n">
        <v>0</v>
      </c>
      <c s="7" r="O46" t="n">
        <v>0</v>
      </c>
      <c s="6" r="P46" t="n">
        <v>0</v>
      </c>
      <c s="6" r="Q46" t="n">
        <v>0</v>
      </c>
      <c s="6" r="R46" t="n">
        <v>0</v>
      </c>
      <c s="6" r="S46" t="n">
        <v>0</v>
      </c>
      <c s="3" r="T46" t="s">
        <v>24</v>
      </c>
    </row>
    <row r="47" customHeight="1" ht="15" spans="1:20">
      <c s="3" r="A47" t="s">
        <v>78</v>
      </c>
      <c s="3" r="B47" t="s">
        <v>75</v>
      </c>
      <c s="3" r="C47" t="s">
        <v>22</v>
      </c>
      <c s="3" r="D47" t="s">
        <v>37</v>
      </c>
      <c s="4" r="E47" t="n">
        <v>30</v>
      </c>
      <c s="4" r="F47" t="n">
        <v>0.01</v>
      </c>
      <c s="5" r="G47" t="n">
        <v>0</v>
      </c>
      <c s="5" r="H47" t="n">
        <v>0</v>
      </c>
      <c s="6" r="I47" t="n">
        <v>0</v>
      </c>
      <c s="6" r="J47" t="n">
        <v>0</v>
      </c>
      <c s="4" r="K47" t="n">
        <v>0</v>
      </c>
      <c s="6" r="L47" t="n">
        <v>0</v>
      </c>
      <c s="7" r="M47" t="n">
        <v>0</v>
      </c>
      <c s="6" r="N47" t="n">
        <v>0</v>
      </c>
      <c s="7" r="O47" t="n">
        <v>0</v>
      </c>
      <c s="6" r="P47" t="n">
        <v>0</v>
      </c>
      <c s="6" r="Q47" t="n">
        <v>0</v>
      </c>
      <c s="6" r="R47" t="n">
        <v>0</v>
      </c>
      <c s="6" r="S47" t="n">
        <v>0</v>
      </c>
      <c s="3" r="T47" t="s">
        <v>24</v>
      </c>
    </row>
    <row r="48" customHeight="1" ht="15" spans="1:20">
      <c s="3" r="A48" t="s">
        <v>79</v>
      </c>
      <c s="3" r="B48" t="s">
        <v>75</v>
      </c>
      <c s="3" r="C48" t="s">
        <v>22</v>
      </c>
      <c s="3" r="D48" t="s">
        <v>37</v>
      </c>
      <c s="4" r="E48" t="n">
        <v>123</v>
      </c>
      <c s="4" r="F48" t="n">
        <v>0.06</v>
      </c>
      <c s="5" r="G48" t="n">
        <v>0</v>
      </c>
      <c s="5" r="H48" t="n">
        <v>0</v>
      </c>
      <c s="6" r="I48" t="n">
        <v>0</v>
      </c>
      <c s="6" r="J48" t="n">
        <v>0</v>
      </c>
      <c s="4" r="K48" t="n">
        <v>0</v>
      </c>
      <c s="6" r="L48" t="n">
        <v>0</v>
      </c>
      <c s="7" r="M48" t="n">
        <v>0</v>
      </c>
      <c s="6" r="N48" t="n">
        <v>0</v>
      </c>
      <c s="7" r="O48" t="n">
        <v>0</v>
      </c>
      <c s="6" r="P48" t="n">
        <v>0</v>
      </c>
      <c s="6" r="Q48" t="n">
        <v>0</v>
      </c>
      <c s="6" r="R48" t="n">
        <v>0</v>
      </c>
      <c s="6" r="S48" t="n">
        <v>0</v>
      </c>
      <c s="3" r="T48" t="s">
        <v>24</v>
      </c>
    </row>
    <row r="49" spans="1:20">
      <c s="3" r="A49" t="s">
        <v>80</v>
      </c>
      <c s="4" r="E49" t="n">
        <f>SUM(E2:E48)</f>
        <v>9162</v>
      </c>
      <c s="4" r="F49" t="n">
        <f>SUM(F2:F48)</f>
        <v>17.14</v>
      </c>
      <c s="5" r="G49" t="n">
        <f>SUM(G2:G48)</f>
        <v>38588.9</v>
      </c>
      <c s="6" r="I49" t="n">
        <f>SUM(I2:I48)</f>
        <v>24.79</v>
      </c>
      <c s="6" r="J49" t="n">
        <f>SUM(J2:J48)</f>
        <v>32157.85</v>
      </c>
      <c s="4" r="K49" t="n">
        <f>SUM(K2:K48)</f>
        <v>30</v>
      </c>
      <c s="6" r="L49" t="n">
        <f>SUM(L2:L48)</f>
        <v>135</v>
      </c>
      <c s="6" r="N49" t="n">
        <f>SUM(N2:N48)</f>
        <v>75</v>
      </c>
      <c s="6" r="P49" t="n">
        <f>SUM(P2:P48)</f>
        <v>0</v>
      </c>
      <c s="6" r="Q49" t="n">
        <f>SUM(Q2:Q48)</f>
        <v>0</v>
      </c>
      <c s="6" r="R49" t="n">
        <f>SUM(R2:R48)</f>
        <v>138.99</v>
      </c>
      <c s="6" r="S49" t="n">
        <f>SUM(S2:S48)</f>
        <v>32157.85</v>
      </c>
    </row>
    <row r="50" spans="1:20">
      <c s="3" r="A50" t="s">
        <v>81</v>
      </c>
      <c s="4" r="E50" t="n">
        <f>AVERAGE(E2:E48)</f>
        <v>194.9361702128</v>
      </c>
      <c s="4" r="F50" t="n">
        <f>AVERAGE(F2:F48)</f>
        <v>0.3646808510638</v>
      </c>
      <c s="5" r="G50" t="n">
        <f>AVERAGE(G2:G48)</f>
        <v>821.040426</v>
      </c>
      <c s="5" r="H50" t="n">
        <f>AVERAGE(H2:H48)</f>
        <v>3.547447</v>
      </c>
      <c s="6" r="I50" t="n">
        <f>AVERAGE(I2:I48)</f>
        <v>0.527447</v>
      </c>
      <c s="6" r="J50" t="n">
        <f>AVERAGE(J2:J48)</f>
        <v>684.209574</v>
      </c>
      <c s="4" r="K50" t="n">
        <f>AVERAGE(K2:K48)</f>
        <v>0.6382978723404</v>
      </c>
      <c s="6" r="L50" t="n">
        <f>AVERAGE(L2:L48)</f>
        <v>2.87234</v>
      </c>
      <c s="7" r="M50" t="n">
        <f>AVERAGE(M2:M48)</f>
        <v>0.002978723404255</v>
      </c>
      <c s="6" r="N50" t="n">
        <f>AVERAGE(N2:N48)</f>
        <v>1.595745</v>
      </c>
      <c s="7" r="O50" t="n">
        <f>AVERAGE(O2:O48)</f>
        <v>0.002340425531915</v>
      </c>
      <c s="6" r="P50" t="n">
        <f>AVERAGE(P2:P48)</f>
        <v>0</v>
      </c>
      <c s="6" r="Q50" t="n">
        <f>AVERAGE(Q2:Q48)</f>
        <v>0</v>
      </c>
      <c s="6" r="R50" t="n">
        <f>AVERAGE(R2:R48)</f>
        <v>2.957234</v>
      </c>
      <c s="6" r="S50" t="n">
        <f>AVERAGE(S2:S48)</f>
        <v>684.209574</v>
      </c>
    </row>
  </sheetData>
  <pageMargins left="0.7" right="0.7" top="0.75" bottom="0.75" header="0.3" footer="0.3"/>
</worksheet>
</file>